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kabir-sales-analysis/"/>
    </mc:Choice>
  </mc:AlternateContent>
  <xr:revisionPtr revIDLastSave="0" documentId="13_ncr:1_{4F27D04B-C449-A941-8C5A-EC0E0F33767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1" l="1"/>
  <c r="U23" i="1"/>
  <c r="J10" i="1"/>
  <c r="K10" i="1"/>
  <c r="I10" i="1"/>
  <c r="T22" i="1"/>
  <c r="U22" i="1"/>
  <c r="S22" i="1"/>
  <c r="F27" i="1"/>
  <c r="E27" i="1"/>
  <c r="U17" i="1"/>
  <c r="U18" i="1"/>
  <c r="U19" i="1"/>
  <c r="U20" i="1"/>
  <c r="U21" i="1"/>
  <c r="T17" i="1"/>
  <c r="T18" i="1"/>
  <c r="T19" i="1"/>
  <c r="T20" i="1"/>
  <c r="T21" i="1"/>
  <c r="S18" i="1"/>
  <c r="S19" i="1"/>
  <c r="S20" i="1"/>
  <c r="S21" i="1"/>
  <c r="S17" i="1"/>
  <c r="K5" i="1"/>
  <c r="K6" i="1"/>
  <c r="K7" i="1"/>
  <c r="K8" i="1"/>
  <c r="K9" i="1"/>
  <c r="J6" i="1"/>
  <c r="J7" i="1"/>
  <c r="J8" i="1"/>
  <c r="J9" i="1"/>
  <c r="J5" i="1"/>
  <c r="I6" i="1"/>
  <c r="I7" i="1"/>
  <c r="I8" i="1"/>
  <c r="I9" i="1"/>
  <c r="I5" i="1"/>
  <c r="P5" i="1"/>
  <c r="P6" i="1"/>
  <c r="P7" i="1"/>
  <c r="P8" i="1"/>
  <c r="P4" i="1"/>
  <c r="O16" i="1"/>
  <c r="O17" i="1"/>
  <c r="O18" i="1"/>
  <c r="O19" i="1"/>
  <c r="O20" i="1"/>
  <c r="N17" i="1"/>
  <c r="N18" i="1"/>
  <c r="N19" i="1"/>
  <c r="N20" i="1"/>
  <c r="N16" i="1"/>
  <c r="J21" i="1"/>
  <c r="J20" i="1"/>
  <c r="J19" i="1"/>
  <c r="J18" i="1"/>
  <c r="J17" i="1"/>
  <c r="J16" i="1"/>
  <c r="I21" i="1"/>
  <c r="I20" i="1"/>
  <c r="I19" i="1"/>
  <c r="I18" i="1"/>
  <c r="I17" i="1"/>
  <c r="I16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<sst xmlns="http://schemas.openxmlformats.org/spreadsheetml/2006/main" count="75" uniqueCount="28">
  <si>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</si>
  <si>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</si>
  <si>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</si>
  <si>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</si>
  <si>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</si>
  <si>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</si>
  <si>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</si>
  <si>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</si>
  <si>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</si>
  <si>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</si>
  <si>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</si>
  <si>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</si>
  <si>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</si>
  <si>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</si>
  <si>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</si>
  <si>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</si>
  <si>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</si>
  <si>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</si>
  <si>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</si>
  <si>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</si>
  <si>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</si>
  <si>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</si>
  <si>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</si>
  <si>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</si>
  <si>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</si>
  <si>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TOTAL</t>
  </si>
  <si>
    <t>GRAND TOTAL</t>
  </si>
  <si>
    <t>AVERAGE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</si>
</sst>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3" fillId="4" borderId="15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6" xfId="0" applyBorder="1"/>
    <xf numFmtId="0" fontId="0" fillId="0" borderId="17" xfId="0" applyBorder="1"/>
    <xf numFmtId="165" fontId="1" fillId="0" borderId="5" xfId="1" applyNumberFormat="1" applyFont="1" applyFill="1" applyBorder="1" applyAlignment="1"/>
    <xf numFmtId="3" fontId="6" fillId="0" borderId="1" xfId="0" applyNumberFormat="1" applyFont="1" applyBorder="1"/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8" xfId="0" applyFill="1" applyBorder="1"/>
    <xf numFmtId="4" fontId="0" fillId="0" borderId="0" xfId="0" applyNumberFormat="1"/>
    <xf numFmtId="165" fontId="0" fillId="0" borderId="0" xfId="0" applyNumberFormat="1"/>
    <xf numFmtId="165" fontId="0" fillId="0" borderId="0" xfId="0" applyNumberFormat="1" applyFill="1" applyBorder="1"/>
    <xf numFmtId="0" fontId="0" fillId="0" borderId="18" xfId="0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topLeftCell="F11" zoomScale="255" workbookViewId="0">
      <selection activeCell="V25" sqref="V25"/>
    </sheetView>
  </sheetViews>
  <sheetFormatPr baseColWidth="10" defaultColWidth="8.83203125" defaultRowHeight="15" x14ac:dyDescent="0.2"/>
  <cols>
    <col min="1" max="1" width="4.83203125" bestFit="1" customWidth="1"/>
    <col min="2" max="2" width="7.6640625" bestFit="1" customWidth="1"/>
    <col min="3" max="3" width="6.33203125" bestFit="1" customWidth="1"/>
    <col min="4" max="4" width="11" bestFit="1" customWidth="1"/>
    <col min="5" max="5" width="15.5" bestFit="1" customWidth="1"/>
    <col min="6" max="6" width="10.1640625" bestFit="1" customWidth="1"/>
    <col min="8" max="8" width="9.6640625" bestFit="1" customWidth="1"/>
    <col min="9" max="10" width="25" bestFit="1" customWidth="1"/>
    <col min="11" max="11" width="26.33203125" bestFit="1" customWidth="1"/>
    <col min="12" max="12" width="6.33203125" bestFit="1" customWidth="1"/>
    <col min="14" max="14" width="17.1640625" bestFit="1" customWidth="1"/>
    <col min="15" max="15" width="17.5" bestFit="1" customWidth="1"/>
    <col min="16" max="16" width="13.1640625" bestFit="1" customWidth="1"/>
    <col min="17" max="17" width="6.33203125" customWidth="1"/>
    <col min="18" max="18" width="9.33203125" customWidth="1"/>
    <col min="19" max="19" width="7.5" customWidth="1"/>
    <col min="20" max="20" width="8.33203125" customWidth="1"/>
    <col min="21" max="21" width="8.5" customWidth="1"/>
  </cols>
  <sheetData>
    <row r="1" spans="1:21" ht="25" x14ac:dyDescent="0.25">
      <c r="A1" s="32" t="s">
        <v>0</v>
      </c>
      <c r="B1" s="32"/>
      <c r="C1" s="32"/>
      <c r="D1" s="32"/>
      <c r="E1" s="32"/>
      <c r="F1" s="32"/>
    </row>
    <row r="2" spans="1:21" ht="19" thickBo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6" thickBot="1" x14ac:dyDescent="0.25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26" t="s">
        <v>24</v>
      </c>
      <c r="J3" s="27"/>
      <c r="K3" s="28"/>
      <c r="N3" s="7"/>
      <c r="O3" s="8" t="s">
        <v>9</v>
      </c>
      <c r="P3" s="9" t="s">
        <v>10</v>
      </c>
    </row>
    <row r="4" spans="1:21" x14ac:dyDescent="0.2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18" t="s">
        <v>4</v>
      </c>
      <c r="I4" s="19">
        <v>2010</v>
      </c>
      <c r="J4" s="20">
        <v>2011</v>
      </c>
      <c r="K4" s="21">
        <v>2012</v>
      </c>
      <c r="N4" s="29" t="s">
        <v>12</v>
      </c>
      <c r="O4" s="13" t="s">
        <v>13</v>
      </c>
      <c r="P4" s="14">
        <f>COUNTIF($D$3:$D$26,$O4)</f>
        <v>6</v>
      </c>
    </row>
    <row r="5" spans="1:21" x14ac:dyDescent="0.2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2" t="s">
        <v>13</v>
      </c>
      <c r="I5" s="4">
        <f>SUMIFS($F$3:$F$26,$D$3:$D$26,$H5,$C$3:$C$26,I$4)</f>
        <v>12320</v>
      </c>
      <c r="J5" s="4">
        <f>SUMIFS($F$3:$F$26,$D$3:$D$26,$H5,$C$3:$C$26,J$4)</f>
        <v>23100</v>
      </c>
      <c r="K5" s="4">
        <f>SUMIFS($F$3:$F$26,$D$3:$D$26,$H5,$C$3:$C$26,K$4)</f>
        <v>25520</v>
      </c>
      <c r="N5" s="30"/>
      <c r="O5" s="13" t="s">
        <v>7</v>
      </c>
      <c r="P5" s="14">
        <f t="shared" ref="P5:P8" si="1">COUNTIF($D$3:$D$26,$O5)</f>
        <v>3</v>
      </c>
    </row>
    <row r="6" spans="1:21" x14ac:dyDescent="0.2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2" t="s">
        <v>7</v>
      </c>
      <c r="I6" s="4">
        <f t="shared" ref="I6:K9" si="2">SUMIFS($F$3:$F$26,$D$3:$D$26,$H6,$C$3:$C$26,I$4)</f>
        <v>16720</v>
      </c>
      <c r="J6" s="4">
        <f t="shared" si="2"/>
        <v>6160</v>
      </c>
      <c r="K6" s="4">
        <f t="shared" si="2"/>
        <v>7920</v>
      </c>
      <c r="N6" s="30"/>
      <c r="O6" s="13" t="s">
        <v>15</v>
      </c>
      <c r="P6" s="14">
        <f t="shared" si="1"/>
        <v>5</v>
      </c>
    </row>
    <row r="7" spans="1:21" x14ac:dyDescent="0.2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2" t="s">
        <v>15</v>
      </c>
      <c r="I7" s="4">
        <f t="shared" si="2"/>
        <v>26840</v>
      </c>
      <c r="J7" s="4">
        <f t="shared" si="2"/>
        <v>0</v>
      </c>
      <c r="K7" s="4">
        <f t="shared" si="2"/>
        <v>15840</v>
      </c>
      <c r="N7" s="30"/>
      <c r="O7" s="13" t="s">
        <v>18</v>
      </c>
      <c r="P7" s="14">
        <f t="shared" si="1"/>
        <v>3</v>
      </c>
    </row>
    <row r="8" spans="1:21" ht="16" thickBot="1" x14ac:dyDescent="0.25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2" t="s">
        <v>18</v>
      </c>
      <c r="I8" s="4">
        <f t="shared" si="2"/>
        <v>19800</v>
      </c>
      <c r="J8" s="4">
        <f t="shared" si="2"/>
        <v>20900</v>
      </c>
      <c r="K8" s="4">
        <f t="shared" si="2"/>
        <v>11440</v>
      </c>
      <c r="N8" s="31"/>
      <c r="O8" s="16" t="s">
        <v>11</v>
      </c>
      <c r="P8" s="14">
        <f t="shared" si="1"/>
        <v>7</v>
      </c>
    </row>
    <row r="9" spans="1:21" ht="16" thickBot="1" x14ac:dyDescent="0.25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3" t="s">
        <v>11</v>
      </c>
      <c r="I9" s="4">
        <f t="shared" si="2"/>
        <v>29040</v>
      </c>
      <c r="J9" s="4">
        <f t="shared" si="2"/>
        <v>33440</v>
      </c>
      <c r="K9" s="4">
        <f t="shared" si="2"/>
        <v>20240</v>
      </c>
    </row>
    <row r="10" spans="1:21" x14ac:dyDescent="0.2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H10" s="36" t="s">
        <v>25</v>
      </c>
      <c r="I10" s="37">
        <f>SUM(I5:I9)</f>
        <v>104720</v>
      </c>
      <c r="J10" s="37">
        <f t="shared" ref="J10:K10" si="3">SUM(J5:J9)</f>
        <v>83600</v>
      </c>
      <c r="K10" s="37">
        <f t="shared" si="3"/>
        <v>80960</v>
      </c>
    </row>
    <row r="11" spans="1:21" x14ac:dyDescent="0.2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2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6" thickBot="1" x14ac:dyDescent="0.25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6" thickBot="1" x14ac:dyDescent="0.25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3" t="s">
        <v>8</v>
      </c>
      <c r="I14" s="34"/>
      <c r="J14" s="35"/>
    </row>
    <row r="15" spans="1:21" ht="16" thickBot="1" x14ac:dyDescent="0.25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26" t="s">
        <v>22</v>
      </c>
      <c r="T15" s="27"/>
      <c r="U15" s="28"/>
    </row>
    <row r="16" spans="1:21" x14ac:dyDescent="0.2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4">
        <f>SUM(F3:F26)</f>
        <v>269280</v>
      </c>
      <c r="L16" s="29" t="s">
        <v>23</v>
      </c>
      <c r="M16" s="13" t="s">
        <v>13</v>
      </c>
      <c r="N16" s="13">
        <f>SUMIF($D$3:$D$26,$M16,E$3:E$26)</f>
        <v>277</v>
      </c>
      <c r="O16" s="4">
        <f>SUMIF($D$3:$D$26,$M16,F$3:F$26)</f>
        <v>60940</v>
      </c>
      <c r="R16" s="18" t="s">
        <v>4</v>
      </c>
      <c r="S16" s="19">
        <v>2010</v>
      </c>
      <c r="T16" s="20">
        <v>2011</v>
      </c>
      <c r="U16" s="21">
        <v>2012</v>
      </c>
    </row>
    <row r="17" spans="1:21" x14ac:dyDescent="0.2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4">
        <f>MIN(F3:F26)</f>
        <v>5280</v>
      </c>
      <c r="L17" s="30"/>
      <c r="M17" s="13" t="s">
        <v>7</v>
      </c>
      <c r="N17" s="13">
        <f t="shared" ref="N17:O20" si="4">SUMIF($D$3:$D$26,$M17,E$3:E$26)</f>
        <v>140</v>
      </c>
      <c r="O17" s="4">
        <f t="shared" si="4"/>
        <v>30800</v>
      </c>
      <c r="R17" s="22" t="s">
        <v>13</v>
      </c>
      <c r="S17" s="24">
        <f>SUMIFS($E$3:$E$26,$D$3:$D$26,$R17,$C$3:$C$26,S$16)</f>
        <v>56</v>
      </c>
      <c r="T17" s="24">
        <f>SUMIFS($E$3:$E$26,$D$3:$D$26,$R17,$C$3:$C$26,T$16)</f>
        <v>105</v>
      </c>
      <c r="U17" s="24">
        <f>SUMIFS($E$3:$E$26,$D$3:$D$26,$R17,$C$3:$C$26,U$16)</f>
        <v>116</v>
      </c>
    </row>
    <row r="18" spans="1:21" x14ac:dyDescent="0.2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4">
        <f>MAX(F3:F26)</f>
        <v>20900</v>
      </c>
      <c r="L18" s="30"/>
      <c r="M18" s="13" t="s">
        <v>15</v>
      </c>
      <c r="N18" s="13">
        <f t="shared" si="4"/>
        <v>194</v>
      </c>
      <c r="O18" s="4">
        <f t="shared" si="4"/>
        <v>42680</v>
      </c>
      <c r="R18" s="22" t="s">
        <v>7</v>
      </c>
      <c r="S18" s="24">
        <f t="shared" ref="S18:U22" si="5">SUMIFS($E$3:$E$26,$D$3:$D$26,$R18,$C$3:$C$26,S$16)</f>
        <v>76</v>
      </c>
      <c r="T18" s="24">
        <f t="shared" si="5"/>
        <v>28</v>
      </c>
      <c r="U18" s="24">
        <f t="shared" si="5"/>
        <v>36</v>
      </c>
    </row>
    <row r="19" spans="1:21" x14ac:dyDescent="0.2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4">
        <f>AVERAGE(F3:F26)</f>
        <v>11220</v>
      </c>
      <c r="L19" s="30"/>
      <c r="M19" s="13" t="s">
        <v>18</v>
      </c>
      <c r="N19" s="13">
        <f t="shared" si="4"/>
        <v>237</v>
      </c>
      <c r="O19" s="4">
        <f t="shared" si="4"/>
        <v>52140</v>
      </c>
      <c r="R19" s="22" t="s">
        <v>15</v>
      </c>
      <c r="S19" s="24">
        <f t="shared" si="5"/>
        <v>122</v>
      </c>
      <c r="T19" s="24">
        <f t="shared" si="5"/>
        <v>0</v>
      </c>
      <c r="U19" s="24">
        <f t="shared" si="5"/>
        <v>72</v>
      </c>
    </row>
    <row r="20" spans="1:21" ht="16" thickBot="1" x14ac:dyDescent="0.25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25">
        <f>COUNT(F3:F26)</f>
        <v>24</v>
      </c>
      <c r="L20" s="31"/>
      <c r="M20" s="16" t="s">
        <v>11</v>
      </c>
      <c r="N20" s="13">
        <f t="shared" si="4"/>
        <v>376</v>
      </c>
      <c r="O20" s="4">
        <f t="shared" si="4"/>
        <v>82720</v>
      </c>
      <c r="R20" s="22" t="s">
        <v>18</v>
      </c>
      <c r="S20" s="24">
        <f t="shared" si="5"/>
        <v>90</v>
      </c>
      <c r="T20" s="24">
        <f t="shared" si="5"/>
        <v>95</v>
      </c>
      <c r="U20" s="24">
        <f t="shared" si="5"/>
        <v>52</v>
      </c>
    </row>
    <row r="21" spans="1:21" ht="16" thickBot="1" x14ac:dyDescent="0.25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7" t="s">
        <v>21</v>
      </c>
      <c r="I21" s="13">
        <f>COUNTA(E3:E26)</f>
        <v>24</v>
      </c>
      <c r="J21" s="25">
        <f>COUNTA(F3:F26)</f>
        <v>24</v>
      </c>
      <c r="R21" s="23" t="s">
        <v>11</v>
      </c>
      <c r="S21" s="24">
        <f t="shared" si="5"/>
        <v>132</v>
      </c>
      <c r="T21" s="24">
        <f t="shared" si="5"/>
        <v>152</v>
      </c>
      <c r="U21" s="24">
        <f t="shared" si="5"/>
        <v>92</v>
      </c>
    </row>
    <row r="22" spans="1:21" x14ac:dyDescent="0.2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  <c r="R22" s="36" t="s">
        <v>25</v>
      </c>
      <c r="S22" s="38">
        <f>SUM(S17:S21)</f>
        <v>476</v>
      </c>
      <c r="T22" s="38">
        <f t="shared" ref="T22:U22" si="6">SUM(T17:T21)</f>
        <v>380</v>
      </c>
      <c r="U22" s="38">
        <f t="shared" si="6"/>
        <v>368</v>
      </c>
    </row>
    <row r="23" spans="1:21" x14ac:dyDescent="0.2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  <c r="R23" s="40" t="s">
        <v>26</v>
      </c>
      <c r="S23" s="41"/>
      <c r="T23" s="41"/>
      <c r="U23" s="39">
        <f>SUM(S22:U22)</f>
        <v>1224</v>
      </c>
    </row>
    <row r="24" spans="1:21" x14ac:dyDescent="0.2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  <c r="R24" s="40" t="s">
        <v>27</v>
      </c>
      <c r="S24" s="41"/>
      <c r="T24" s="41"/>
      <c r="U24" s="38">
        <f>AVERAGE(S22:U22)</f>
        <v>408</v>
      </c>
    </row>
    <row r="25" spans="1:21" x14ac:dyDescent="0.2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2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  <row r="27" spans="1:21" x14ac:dyDescent="0.2">
      <c r="E27">
        <f>SUM(E3:E26)</f>
        <v>1224</v>
      </c>
      <c r="F27" s="37">
        <f>SUM(F3:F26)</f>
        <v>269280</v>
      </c>
    </row>
  </sheetData>
  <mergeCells count="8">
    <mergeCell ref="R24:T24"/>
    <mergeCell ref="R23:T23"/>
    <mergeCell ref="S15:U15"/>
    <mergeCell ref="L16:L20"/>
    <mergeCell ref="I3:K3"/>
    <mergeCell ref="A1:F1"/>
    <mergeCell ref="H14:J14"/>
    <mergeCell ref="N4:N8"/>
  </mergeCells>
  <conditionalFormatting sqref="F3:F26">
    <cfRule type="cellIs" dxfId="7" priority="7" operator="lessThan">
      <formula>5000</formula>
    </cfRule>
    <cfRule type="cellIs" dxfId="6" priority="8" operator="greaterThan">
      <formula>15000</formula>
    </cfRule>
  </conditionalFormatting>
  <conditionalFormatting sqref="I5:K9">
    <cfRule type="cellIs" dxfId="5" priority="5" operator="lessThan">
      <formula>5000</formula>
    </cfRule>
    <cfRule type="cellIs" dxfId="4" priority="6" operator="greaterThan">
      <formula>15000</formula>
    </cfRule>
  </conditionalFormatting>
  <conditionalFormatting sqref="J16:J19">
    <cfRule type="cellIs" dxfId="3" priority="3" operator="lessThan">
      <formula>5000</formula>
    </cfRule>
    <cfRule type="cellIs" dxfId="2" priority="4" operator="greaterThan">
      <formula>15000</formula>
    </cfRule>
  </conditionalFormatting>
  <conditionalFormatting sqref="O16:O20">
    <cfRule type="cellIs" dxfId="1" priority="1" operator="lessThan">
      <formula>5000</formula>
    </cfRule>
    <cfRule type="cellIs" dxfId="0" priority="2" operator="greaterThan">
      <formula>15000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Abdulazeez Opemiposi Popoola</cp:lastModifiedBy>
  <dcterms:created xsi:type="dcterms:W3CDTF">2024-05-08T21:08:42Z</dcterms:created>
  <dcterms:modified xsi:type="dcterms:W3CDTF">2026-05-01T15:39:52Z</dcterms:modified>
</cp:coreProperties>
</file>